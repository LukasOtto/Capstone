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04\"/>
    </mc:Choice>
  </mc:AlternateContent>
  <xr:revisionPtr revIDLastSave="0" documentId="13_ncr:1_{79999B4C-2460-497A-811C-ED6D2C62C0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G39" i="1"/>
  <c r="E39" i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G30" i="1"/>
  <c r="E30" i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G26" i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B14" i="1" l="1"/>
  <c r="B15" i="1"/>
  <c r="B16" i="1"/>
  <c r="B17" i="1"/>
  <c r="B18" i="1"/>
  <c r="B19" i="1"/>
  <c r="E13" i="1" l="1"/>
  <c r="D14" i="1"/>
  <c r="E14" i="1" s="1"/>
  <c r="D15" i="1"/>
  <c r="E15" i="1" s="1"/>
  <c r="D16" i="1"/>
  <c r="E16" i="1" s="1"/>
  <c r="E17" i="1"/>
  <c r="D18" i="1"/>
  <c r="E18" i="1" s="1"/>
  <c r="D19" i="1"/>
  <c r="E19" i="1" s="1"/>
  <c r="F17" i="1" l="1"/>
  <c r="G17" i="1" s="1"/>
  <c r="I17" i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<sst xmlns="http://schemas.openxmlformats.org/spreadsheetml/2006/main" count="169" uniqueCount="67">
  <si>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</si>
  <si>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</si>
  <si>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</si>
  <si>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</si>
  <si>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</si>
  <si>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</si>
  <si>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</si>
  <si>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</si>
  <si>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</si>
  <si>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</si>
  <si>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</si>
  <si>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</si>
  <si>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</si>
  <si>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</si>
  <si>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</si>
  <si>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</si>
  <si>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</si>
  <si>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</si>
  <si>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</si>
  <si>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</si>
  <si>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</si>
  <si>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</si>
  <si>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</si>
  <si>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</si>
  <si>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</si>
  <si>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</si>
  <si>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</si>
  <si>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</si>
  <si>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</si>
  <si>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</si>
  <si>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</si>
  <si>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</si>
  <si>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</si>
  <si>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</si>
  <si>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</si>
  <si>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</si>
  <si>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</si>
  <si>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</si>
  <si>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</si>
  <si>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</si>
  <si>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</si>
  <si>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</si>
  <si>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</si>
  <si>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</si>
  <si>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</si>
  <si>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</si>
  <si>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</si>
  <si>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</si>
  <si>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</si>
  <si>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</si>
  <si>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</si>
  <si>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</si>
  <si>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</si>
  <si>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</si>
  <si>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</si>
  <si>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</si>
  <si>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</si>
  <si>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</si>
  <si>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</si>
  <si>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</si>
  <si>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</si>
  <si>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</si>
  <si>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</si>
  <si>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OTTO ONATE LUKAS MATIAS</t>
  </si>
  <si>
    <t>DORIA EL MASRI ISMAEL EDUARDO</t>
  </si>
  <si>
    <t>CID IBARRA BRANCO EMILIO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</si>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</sst>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C9" sqref="C9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8">
        <v>0.7</v>
      </c>
      <c r="D2" s="31">
        <v>0.3</v>
      </c>
      <c r="E2" s="32">
        <v>1</v>
      </c>
    </row>
    <row r="3" spans="1:11" ht="30" x14ac:dyDescent="0.25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5">
      <c r="A4" s="3">
        <v>1</v>
      </c>
      <c r="B4" s="38" t="s">
        <v>63</v>
      </c>
      <c r="C4" s="30">
        <f>C21</f>
        <v>6.3</v>
      </c>
      <c r="D4" s="36">
        <f>C4</f>
        <v>6.3</v>
      </c>
      <c r="E4" s="35">
        <f>C4*C$2+D4*D$2</f>
        <v>6.2999999999999989</v>
      </c>
    </row>
    <row r="5" spans="1:11" x14ac:dyDescent="0.25">
      <c r="A5" s="3">
        <v>2</v>
      </c>
      <c r="B5" s="38" t="s">
        <v>64</v>
      </c>
      <c r="C5" s="30">
        <f>C34</f>
        <v>6.4</v>
      </c>
      <c r="D5" s="36">
        <f>C5</f>
        <v>6.4</v>
      </c>
      <c r="E5" s="35">
        <f t="shared" ref="E5:E6" si="0">C5*C$2+D5*D$2</f>
        <v>6.3999999999999995</v>
      </c>
    </row>
    <row r="6" spans="1:11" x14ac:dyDescent="0.25">
      <c r="A6" s="3">
        <v>3</v>
      </c>
      <c r="B6" s="38" t="s">
        <v>65</v>
      </c>
      <c r="C6" s="30">
        <f>C47</f>
        <v>6.6</v>
      </c>
      <c r="D6" s="36">
        <f>C6</f>
        <v>6.6</v>
      </c>
      <c r="E6" s="35">
        <f t="shared" si="0"/>
        <v>6.5999999999999988</v>
      </c>
    </row>
    <row r="11" spans="1:11" ht="18.75" outlineLevel="1" x14ac:dyDescent="0.25">
      <c r="A11" s="39" t="s">
        <v>4</v>
      </c>
      <c r="B11" s="11" t="str">
        <f>B4</f>
        <v>OTTO ONATE LUKAS MATIAS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/>
      <c r="E13" s="12" t="str">
        <f>IF(D13="X",100*0.15,"")</f>
        <v/>
      </c>
      <c r="F13" s="12" t="s">
        <v>66</v>
      </c>
      <c r="G13" s="12">
        <f>IF(F13="X",60*0.15,"")</f>
        <v>9</v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26.45" customHeight="1" outlineLevel="1" x14ac:dyDescent="0.25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ref="D13:D17" si="4">IF($C14=CL,"X","")</f>
        <v>X</v>
      </c>
      <c r="E14" s="12">
        <f>IF(D14="X",100*0.25,"")</f>
        <v>25</v>
      </c>
      <c r="F14" s="12" t="str">
        <f t="shared" ref="F13:F17" si="5">IF($C14=L,"X","")</f>
        <v/>
      </c>
      <c r="G14" s="12" t="str">
        <f>IF(F14="X",60*0.25,"")</f>
        <v/>
      </c>
      <c r="H14" s="12" t="str">
        <f t="shared" si="1"/>
        <v/>
      </c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24" outlineLevel="1" x14ac:dyDescent="0.25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4"/>
        <v>X</v>
      </c>
      <c r="E15" s="12">
        <f>IF(D15="X",100*0.2,"")</f>
        <v>20</v>
      </c>
      <c r="F15" s="12" t="str">
        <f t="shared" si="5"/>
        <v/>
      </c>
      <c r="G15" s="12" t="str">
        <f>IF(F15="X",60*0.2,"")</f>
        <v/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 x14ac:dyDescent="0.25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4"/>
        <v>X</v>
      </c>
      <c r="E16" s="12">
        <f>IF(D16="X",100*0.05,"")</f>
        <v>5</v>
      </c>
      <c r="F16" s="12" t="str">
        <f t="shared" si="5"/>
        <v/>
      </c>
      <c r="G16" s="12" t="str">
        <f>IF(F16="X",60*0.05,"")</f>
        <v/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 x14ac:dyDescent="0.25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/>
      <c r="E17" s="12" t="str">
        <f>IF(D17="X",100*0.05,"")</f>
        <v/>
      </c>
      <c r="F17" s="12" t="str">
        <f t="shared" si="5"/>
        <v/>
      </c>
      <c r="G17" s="12" t="str">
        <f>IF(F17="X",60*0.05,"")</f>
        <v/>
      </c>
      <c r="H17" s="12" t="s">
        <v>66</v>
      </c>
      <c r="I17" s="12">
        <f>IF(H17="X",30*0.05,"")</f>
        <v>1.5</v>
      </c>
      <c r="J17" s="12" t="str">
        <f t="shared" si="2"/>
        <v/>
      </c>
      <c r="K17" s="12" t="str">
        <f t="shared" si="3"/>
        <v/>
      </c>
    </row>
    <row r="18" spans="1:11" ht="36" outlineLevel="1" x14ac:dyDescent="0.25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7" t="s">
        <v>12</v>
      </c>
      <c r="C20" s="21">
        <f>E20+G20+I20+K20</f>
        <v>90.5</v>
      </c>
      <c r="D20" s="13"/>
      <c r="E20" s="13">
        <f>SUM(E13:E19)</f>
        <v>80</v>
      </c>
      <c r="F20" s="13"/>
      <c r="G20" s="13">
        <f>SUM(G13:G19)</f>
        <v>9</v>
      </c>
      <c r="H20" s="13"/>
      <c r="I20" s="13">
        <f>SUM(I13:I19)</f>
        <v>1.5</v>
      </c>
      <c r="J20" s="13"/>
      <c r="K20" s="13">
        <f>SUM(K13:K19)</f>
        <v>0</v>
      </c>
    </row>
    <row r="21" spans="1:11" ht="15.75" customHeight="1" outlineLevel="1" x14ac:dyDescent="0.3">
      <c r="A21" s="42"/>
      <c r="B21" s="20" t="s">
        <v>13</v>
      </c>
      <c r="C21" s="14">
        <f>VLOOKUP(C20,ESCALA_IEP!A2:B202,2,FALSE)</f>
        <v>6.3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 t="str">
        <f>B5</f>
        <v>DORIA EL MASRI ISMAEL EDUARDO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/>
      <c r="E26" s="12" t="str">
        <f>IF(D26="X",100*0.15,"")</f>
        <v/>
      </c>
      <c r="F26" s="12" t="s">
        <v>66</v>
      </c>
      <c r="G26" s="12">
        <f>IF(F26="X",60*0.15,"")</f>
        <v>9</v>
      </c>
      <c r="H26" s="12" t="str">
        <f t="shared" ref="H26:H30" si="7">IF($C26=ML,"X","")</f>
        <v/>
      </c>
      <c r="I26" s="12" t="str">
        <f>IF(H26="X",30*0.15,"")</f>
        <v/>
      </c>
      <c r="J26" s="12" t="str">
        <f t="shared" ref="J26:J30" si="8">IF($C26=NL,"X","")</f>
        <v/>
      </c>
      <c r="K26" s="12" t="str">
        <f t="shared" ref="K26:K32" si="9">IF($J26="X",0,"")</f>
        <v/>
      </c>
    </row>
    <row r="27" spans="1:11" ht="24" customHeight="1" x14ac:dyDescent="0.25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ref="D26:D30" si="10">IF($C27=CL,"X","")</f>
        <v>X</v>
      </c>
      <c r="E27" s="12">
        <f>IF(D27="X",100*0.25,"")</f>
        <v>25</v>
      </c>
      <c r="F27" s="12" t="str">
        <f t="shared" ref="F26:F30" si="11">IF($C27=L,"X","")</f>
        <v/>
      </c>
      <c r="G27" s="12" t="str">
        <f>IF(F27="X",60*0.25,"")</f>
        <v/>
      </c>
      <c r="H27" s="12" t="str">
        <f t="shared" si="7"/>
        <v/>
      </c>
      <c r="I27" s="12" t="str">
        <f>IF(H27="X",30*0.25,"")</f>
        <v/>
      </c>
      <c r="J27" s="12" t="str">
        <f t="shared" si="8"/>
        <v/>
      </c>
      <c r="K27" s="12" t="str">
        <f t="shared" si="9"/>
        <v/>
      </c>
    </row>
    <row r="28" spans="1:11" ht="24" customHeight="1" x14ac:dyDescent="0.25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10"/>
        <v>X</v>
      </c>
      <c r="E28" s="12">
        <f>IF(D28="X",100*0.2,"")</f>
        <v>20</v>
      </c>
      <c r="F28" s="12" t="str">
        <f t="shared" si="11"/>
        <v/>
      </c>
      <c r="G28" s="12" t="str">
        <f>IF(F28="X",60*0.2,"")</f>
        <v/>
      </c>
      <c r="H28" s="12" t="str">
        <f t="shared" si="7"/>
        <v/>
      </c>
      <c r="I28" s="12" t="str">
        <f>IF(H28="X",30*0.2,"")</f>
        <v/>
      </c>
      <c r="J28" s="12" t="str">
        <f t="shared" si="8"/>
        <v/>
      </c>
      <c r="K28" s="12" t="str">
        <f t="shared" si="9"/>
        <v/>
      </c>
    </row>
    <row r="29" spans="1:11" ht="24" customHeight="1" x14ac:dyDescent="0.25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10"/>
        <v>X</v>
      </c>
      <c r="E29" s="12">
        <f>IF(D29="X",100*0.05,"")</f>
        <v>5</v>
      </c>
      <c r="F29" s="12" t="str">
        <f t="shared" si="11"/>
        <v/>
      </c>
      <c r="G29" s="12" t="str">
        <f>IF(F29="X",60*0.05,"")</f>
        <v/>
      </c>
      <c r="H29" s="12" t="str">
        <f t="shared" si="7"/>
        <v/>
      </c>
      <c r="I29" s="12" t="str">
        <f>IF(H29="X",30*0.05,"")</f>
        <v/>
      </c>
      <c r="J29" s="12" t="str">
        <f t="shared" si="8"/>
        <v/>
      </c>
      <c r="K29" s="12" t="str">
        <f t="shared" si="9"/>
        <v/>
      </c>
    </row>
    <row r="30" spans="1:11" ht="24" customHeight="1" x14ac:dyDescent="0.25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/>
      <c r="E30" s="12" t="str">
        <f>IF(D30="X",100*0.05,"")</f>
        <v/>
      </c>
      <c r="F30" s="12" t="s">
        <v>66</v>
      </c>
      <c r="G30" s="12">
        <f>IF(F30="X",60*0.05,"")</f>
        <v>3</v>
      </c>
      <c r="H30" s="12" t="str">
        <f t="shared" si="7"/>
        <v/>
      </c>
      <c r="I30" s="12" t="str">
        <f>IF(H30="X",30*0.05,"")</f>
        <v/>
      </c>
      <c r="J30" s="12" t="str">
        <f t="shared" si="8"/>
        <v/>
      </c>
      <c r="K30" s="12" t="str">
        <f t="shared" si="9"/>
        <v/>
      </c>
    </row>
    <row r="31" spans="1:11" ht="24" customHeight="1" x14ac:dyDescent="0.25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9"/>
        <v/>
      </c>
    </row>
    <row r="32" spans="1:11" ht="24" customHeight="1" x14ac:dyDescent="0.25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9"/>
        <v/>
      </c>
    </row>
    <row r="33" spans="1:11" ht="24" customHeight="1" x14ac:dyDescent="0.3">
      <c r="A33" s="40"/>
      <c r="B33" s="17" t="s">
        <v>12</v>
      </c>
      <c r="C33" s="21">
        <f>E33+G33+I33+K33</f>
        <v>92</v>
      </c>
      <c r="D33" s="13"/>
      <c r="E33" s="13">
        <f>SUM(E26:E32)</f>
        <v>80</v>
      </c>
      <c r="F33" s="13"/>
      <c r="G33" s="13">
        <f>SUM(G26:G32)</f>
        <v>12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0" t="s">
        <v>13</v>
      </c>
      <c r="C34" s="14">
        <f>VLOOKUP(C33,ESCALA_IEP!A15:B215,2,FALSE)</f>
        <v>6.4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 t="str">
        <f>B6</f>
        <v>CID IBARRA BRANCO EMILIO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/>
      <c r="E39" s="12" t="str">
        <f>IF(D39="X",100*0.15,"")</f>
        <v/>
      </c>
      <c r="F39" s="12" t="s">
        <v>66</v>
      </c>
      <c r="G39" s="12">
        <f>IF(F39="X",60*0.15,"")</f>
        <v>9</v>
      </c>
      <c r="H39" s="12" t="str">
        <f t="shared" ref="H39:H43" si="12">IF($C39=ML,"X","")</f>
        <v/>
      </c>
      <c r="I39" s="12" t="str">
        <f>IF(H39="X",30*0.15,"")</f>
        <v/>
      </c>
      <c r="J39" s="12" t="str">
        <f t="shared" ref="J39:J43" si="13">IF($C39=NL,"X","")</f>
        <v/>
      </c>
      <c r="K39" s="12" t="str">
        <f t="shared" ref="K39:K45" si="14">IF($J39="X",0,"")</f>
        <v/>
      </c>
    </row>
    <row r="40" spans="1:11" ht="24" customHeight="1" x14ac:dyDescent="0.25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ref="D39:D43" si="15">IF($C40=CL,"X","")</f>
        <v>X</v>
      </c>
      <c r="E40" s="12">
        <f>IF(D40="X",100*0.25,"")</f>
        <v>25</v>
      </c>
      <c r="F40" s="12" t="str">
        <f t="shared" ref="F39:F43" si="16">IF($C40=L,"X","")</f>
        <v/>
      </c>
      <c r="G40" s="12" t="str">
        <f>IF(F40="X",60*0.25,"")</f>
        <v/>
      </c>
      <c r="H40" s="12" t="str">
        <f t="shared" si="12"/>
        <v/>
      </c>
      <c r="I40" s="12" t="str">
        <f>IF(H40="X",30*0.25,"")</f>
        <v/>
      </c>
      <c r="J40" s="12" t="str">
        <f t="shared" si="13"/>
        <v/>
      </c>
      <c r="K40" s="12" t="str">
        <f t="shared" si="14"/>
        <v/>
      </c>
    </row>
    <row r="41" spans="1:11" ht="24" customHeight="1" x14ac:dyDescent="0.25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5"/>
        <v>X</v>
      </c>
      <c r="E41" s="12">
        <f>IF(D41="X",100*0.2,"")</f>
        <v>20</v>
      </c>
      <c r="F41" s="12" t="str">
        <f t="shared" si="16"/>
        <v/>
      </c>
      <c r="G41" s="12" t="str">
        <f>IF(F41="X",60*0.2,"")</f>
        <v/>
      </c>
      <c r="H41" s="12" t="str">
        <f t="shared" si="12"/>
        <v/>
      </c>
      <c r="I41" s="12" t="str">
        <f>IF(H41="X",30*0.2,"")</f>
        <v/>
      </c>
      <c r="J41" s="12" t="str">
        <f t="shared" si="13"/>
        <v/>
      </c>
      <c r="K41" s="12" t="str">
        <f t="shared" si="14"/>
        <v/>
      </c>
    </row>
    <row r="42" spans="1:11" ht="24" customHeight="1" x14ac:dyDescent="0.25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5"/>
        <v>X</v>
      </c>
      <c r="E42" s="12">
        <f>IF(D42="X",100*0.05,"")</f>
        <v>5</v>
      </c>
      <c r="F42" s="12" t="str">
        <f t="shared" si="16"/>
        <v/>
      </c>
      <c r="G42" s="12" t="str">
        <f>IF(F42="X",60*0.05,"")</f>
        <v/>
      </c>
      <c r="H42" s="12" t="str">
        <f t="shared" si="12"/>
        <v/>
      </c>
      <c r="I42" s="12" t="str">
        <f>IF(H42="X",30*0.05,"")</f>
        <v/>
      </c>
      <c r="J42" s="12" t="str">
        <f t="shared" si="13"/>
        <v/>
      </c>
      <c r="K42" s="12" t="str">
        <f t="shared" si="14"/>
        <v/>
      </c>
    </row>
    <row r="43" spans="1:11" ht="24" customHeight="1" x14ac:dyDescent="0.25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5"/>
        <v>X</v>
      </c>
      <c r="E43" s="12">
        <f>IF(D43="X",100*0.05,"")</f>
        <v>5</v>
      </c>
      <c r="F43" s="12" t="str">
        <f t="shared" si="16"/>
        <v/>
      </c>
      <c r="G43" s="12" t="str">
        <f>IF(F43="X",60*0.05,"")</f>
        <v/>
      </c>
      <c r="H43" s="12" t="str">
        <f t="shared" si="12"/>
        <v/>
      </c>
      <c r="I43" s="12" t="str">
        <f>IF(H43="X",30*0.05,"")</f>
        <v/>
      </c>
      <c r="J43" s="12" t="str">
        <f t="shared" si="13"/>
        <v/>
      </c>
      <c r="K43" s="12" t="str">
        <f t="shared" si="14"/>
        <v/>
      </c>
    </row>
    <row r="44" spans="1:11" ht="24" customHeight="1" x14ac:dyDescent="0.25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4"/>
        <v/>
      </c>
    </row>
    <row r="45" spans="1:11" ht="24" customHeight="1" x14ac:dyDescent="0.25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4"/>
        <v/>
      </c>
    </row>
    <row r="46" spans="1:11" ht="24" customHeight="1" x14ac:dyDescent="0.3">
      <c r="A46" s="40"/>
      <c r="B46" s="17" t="s">
        <v>12</v>
      </c>
      <c r="C46" s="21">
        <f>E46+G46+I46+K46</f>
        <v>94</v>
      </c>
      <c r="D46" s="13"/>
      <c r="E46" s="13">
        <f>SUM(E39:E45)</f>
        <v>85</v>
      </c>
      <c r="F46" s="13"/>
      <c r="G46" s="13">
        <f>SUM(G39:G45)</f>
        <v>9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0" t="s">
        <v>13</v>
      </c>
      <c r="C47" s="14">
        <f>VLOOKUP(C46,ESCALA_IEP!A28:B228,2,FALSE)</f>
        <v>6.6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14</v>
      </c>
      <c r="B50" s="11" t="str">
        <f>B4</f>
        <v>OTTO ONATE LUKAS MATIAS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15</v>
      </c>
      <c r="B63" s="11" t="str">
        <f>B5</f>
        <v>DORIA EL MASRI ISMAEL EDUARDO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16</v>
      </c>
      <c r="B76" s="11" t="str">
        <f>B6</f>
        <v>CID IBARRA BRANCO EMILIO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5">
      <c r="A3" s="50"/>
      <c r="B3" s="55"/>
      <c r="C3" s="55"/>
      <c r="D3" s="26">
        <v>0.3</v>
      </c>
      <c r="E3" s="26">
        <v>0</v>
      </c>
      <c r="F3" s="50"/>
    </row>
    <row r="4" spans="1:6" ht="102" x14ac:dyDescent="0.25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6.9" customHeight="1" x14ac:dyDescent="0.25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5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89.25" x14ac:dyDescent="0.25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89.25" x14ac:dyDescent="0.25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89.25" x14ac:dyDescent="0.25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5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2025-12-10T04:33:04Z</dcterms:modified>
  <cp:category/>
  <cp:contentStatus/>
</cp:coreProperties>
</file>